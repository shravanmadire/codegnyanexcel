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Desktop\codegnyan excel\"/>
    </mc:Choice>
  </mc:AlternateContent>
  <bookViews>
    <workbookView xWindow="0" yWindow="0" windowWidth="23040" windowHeight="9072"/>
  </bookViews>
  <sheets>
    <sheet name="Patient_Data" sheetId="1" r:id="rId1"/>
    <sheet name="Questions" sheetId="3" r:id="rId2"/>
    <sheet name="Answers" sheetId="2" r:id="rId3"/>
  </sheets>
  <definedNames>
    <definedName name="bb">Patient_Data!$K$2:$K$41</definedName>
    <definedName name="Bills">Patient_Data!$K$2:$K$41</definedName>
    <definedName name="dd">Patient_Data!$E$1:$E$41</definedName>
    <definedName name="Department">Patient_Data!$E$2:$E$41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1" i="1" l="1"/>
  <c r="J66" i="1"/>
  <c r="H49" i="1"/>
  <c r="H63" i="1"/>
  <c r="H58" i="1" l="1"/>
  <c r="H54" i="1"/>
  <c r="H52" i="1"/>
  <c r="H51" i="1"/>
  <c r="H50" i="1"/>
  <c r="H48" i="1"/>
  <c r="H47" i="1"/>
  <c r="S13" i="1"/>
  <c r="R3" i="1"/>
  <c r="R4" i="1"/>
  <c r="R5" i="1"/>
  <c r="R6" i="1"/>
  <c r="R7" i="1"/>
  <c r="R8" i="1"/>
  <c r="R9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S5" i="1"/>
  <c r="S3" i="1"/>
  <c r="S4" i="1"/>
  <c r="S6" i="1"/>
  <c r="S7" i="1"/>
  <c r="S8" i="1"/>
  <c r="S9" i="1"/>
  <c r="S10" i="1"/>
  <c r="S11" i="1"/>
  <c r="S12" i="1"/>
  <c r="S14" i="1"/>
  <c r="S15" i="1"/>
  <c r="S16" i="1"/>
  <c r="S17" i="1"/>
  <c r="S18" i="1"/>
  <c r="S2" i="1"/>
  <c r="R10" i="1"/>
  <c r="Q3" i="1"/>
  <c r="Q4" i="1"/>
  <c r="Q5" i="1"/>
  <c r="Q6" i="1"/>
  <c r="Q7" i="1"/>
  <c r="Q8" i="1"/>
  <c r="Q9" i="1"/>
  <c r="Q10" i="1"/>
  <c r="Q11" i="1"/>
  <c r="Q2" i="1"/>
  <c r="P2" i="1"/>
  <c r="N3" i="1"/>
  <c r="N4" i="1"/>
  <c r="N5" i="1"/>
  <c r="N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</calcChain>
</file>

<file path=xl/sharedStrings.xml><?xml version="1.0" encoding="utf-8"?>
<sst xmlns="http://schemas.openxmlformats.org/spreadsheetml/2006/main" count="472" uniqueCount="233">
  <si>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</si>
  <si>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</si>
  <si>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</si>
  <si>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</si>
  <si>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</si>
  <si>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</si>
  <si>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</si>
  <si>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</si>
  <si>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</si>
  <si>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</si>
  <si>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</si>
  <si>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</si>
  <si>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</si>
  <si>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</si>
  <si>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</si>
  <si>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</si>
  <si>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</si>
  <si>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</si>
  <si>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</si>
  <si>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</si>
  <si>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</si>
  <si>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</si>
  <si>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</si>
  <si>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</si>
  <si>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</si>
  <si>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</si>
  <si>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</si>
  <si>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</si>
  <si>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</si>
  <si>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</si>
  <si>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</si>
  <si>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</si>
  <si>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</si>
  <si>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</si>
  <si>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</si>
  <si>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</si>
  <si>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</si>
  <si>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</si>
  <si>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</si>
  <si>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</si>
  <si>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</si>
  <si>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</si>
  <si>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</si>
  <si>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</si>
  <si>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</si>
  <si>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</si>
  <si>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</si>
  <si>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</si>
  <si>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</si>
  <si>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</si>
  <si>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</si>
  <si>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</si>
  <si>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</si>
  <si>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</si>
  <si>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</si>
  <si>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</si>
  <si>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</si>
  <si>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</si>
  <si>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</si>
  <si>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</si>
  <si>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</si>
  <si>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</si>
  <si>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</si>
  <si>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</si>
  <si>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</si>
  <si>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</si>
  <si>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</si>
  <si>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</si>
  <si>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</si>
  <si>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</si>
  <si>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</si>
  <si>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</si>
  <si>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</si>
  <si>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</si>
  <si>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</si>
  <si>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</si>
  <si>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</si>
  <si>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</si>
  <si>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</si>
  <si>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</si>
  <si>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</si>
  <si>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</si>
  <si>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</si>
  <si>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</si>
  <si>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</si>
  <si>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</si>
  <si>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</si>
  <si>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</si>
  <si>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</si>
  <si>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</si>
  <si>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</si>
  <si>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</si>
  <si>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</si>
  <si>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</si>
  <si>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</si>
  <si>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</si>
  <si>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</si>
  <si>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</si>
  <si>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</si>
  <si>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</si>
  <si>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</si>
  <si>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</si>
  <si>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</si>
  <si>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</si>
  <si>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</si>
  <si>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</si>
  <si>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</si>
  <si>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</si>
  <si>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</si>
  <si>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</si>
  <si>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</si>
  <si>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</si>
  <si>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</si>
  <si>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</si>
  <si>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</si>
  <si>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</si>
  <si>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</si>
  <si>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</si>
  <si>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</si>
  <si>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</si>
  <si>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</si>
  <si>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</si>
  <si>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</si>
  <si>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</si>
  <si>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</si>
  <si>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</si>
  <si>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</si>
  <si>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</si>
  <si>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</si>
  <si>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</si>
  <si>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</si>
  <si>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</si>
  <si>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</si>
  <si>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</si>
  <si>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</si>
  <si>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</si>
  <si>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</si>
  <si>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</si>
  <si>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Find total billing for Cardialogy department.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</si>
  <si>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</si>
  <si>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</si>
  <si>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</si>
  <si>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</si>
  <si>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</si>
  <si>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</si>
  <si>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</si>
  <si>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</si>
  <si>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</si>
  <si>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</si>
  <si>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</si>
  <si>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</si>
  <si>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</si>
  <si>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</si>
  <si>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</si>
  <si>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</si>
  <si>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</si>
  <si>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</si>
  <si>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</si>
  <si>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</si>
  <si>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</si>
  <si>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</si>
  <si>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</si>
  <si>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</si>
  <si>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</si>
  <si>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</si>
  <si>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</si>
  <si>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</si>
  <si>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</si>
  <si>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</si>
  <si>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</si>
  <si>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</si>
  <si>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</si>
  <si>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</si>
  <si>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</si>
  <si>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</si>
  <si>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</si>
  <si>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</si>
  <si>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</si>
  <si>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</si>
  <si>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</si>
  <si>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</si>
  <si>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</si>
  <si>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</si>
  <si>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</si>
  <si>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</si>
  <si>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</si>
  <si>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</si>
  <si>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</si>
  <si>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</si>
  <si>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</si>
  <si>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</si>
  <si>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</si>
  <si>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</si>
  <si>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</si>
  <si>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</si>
  <si>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</si>
  <si>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</si>
  <si>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</si>
  <si>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</si>
  <si>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</si>
  <si>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</si>
  <si>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</si>
  <si>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</si>
  <si>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</si>
  <si>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</si>
  <si>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</si>
  <si>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</si>
  <si>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</si>
  <si>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</si>
  <si>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</si>
  <si>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</si>
  <si>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</si>
  <si>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</si>
  <si>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</si>
  <si>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</si>
  <si>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</si>
  <si>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</si>
  <si>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</si>
  <si>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</si>
  <si>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</si>
  <si>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</si>
  <si>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</si>
  <si>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</si>
  <si>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</si>
  <si>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</si>
  <si>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payment alert</t>
  </si>
  <si>
    <t>bill</t>
  </si>
  <si>
    <t>age</t>
  </si>
  <si>
    <t>high billing case</t>
  </si>
  <si>
    <t>bill amount category</t>
  </si>
  <si>
    <t>urgent payment follow-up</t>
  </si>
  <si>
    <t>=</t>
  </si>
  <si>
    <t>Insurance_type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</si>
</sst>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₹&quot;\ #,##0;[Red]&quot;₹&quot;\ \-#,##0"/>
    <numFmt numFmtId="165" formatCode="&quot;₹&quot;\ #,##0.00;[Red]&quot;₹&quot;\ \-#,##0.00"/>
    <numFmt numFmtId="166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right" vertical="center" wrapText="1"/>
    </xf>
    <xf numFmtId="165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9"/>
  <sheetViews>
    <sheetView tabSelected="1" topLeftCell="A41" zoomScale="85" workbookViewId="0">
      <selection activeCell="J52" sqref="J52"/>
    </sheetView>
  </sheetViews>
  <sheetFormatPr defaultRowHeight="14.4"/>
  <cols>
    <col min="1" max="1" width="10.109375" customWidth="1"/>
    <col min="2" max="2" width="16.21875" customWidth="1"/>
    <col min="5" max="5" width="19.77734375" customWidth="1"/>
    <col min="6" max="6" width="15.88671875" customWidth="1"/>
    <col min="7" max="7" width="18.33203125" customWidth="1"/>
    <col min="8" max="8" width="23" customWidth="1"/>
    <col min="9" max="9" width="16.6640625" customWidth="1"/>
    <col min="10" max="10" width="19.5546875" customWidth="1"/>
    <col min="11" max="11" width="16.88671875" customWidth="1"/>
    <col min="12" max="12" width="18.44140625" customWidth="1"/>
    <col min="13" max="13" width="16.44140625" customWidth="1"/>
    <col min="14" max="14" width="15.44140625" customWidth="1"/>
    <col min="15" max="15" width="14.77734375" customWidth="1"/>
    <col min="16" max="16" width="15.88671875" customWidth="1"/>
    <col min="17" max="17" width="21" customWidth="1"/>
    <col min="18" max="18" width="17.33203125" customWidth="1"/>
    <col min="19" max="19" width="17.6640625" customWidth="1"/>
    <col min="20" max="20" width="18.109375" customWidth="1"/>
    <col min="21" max="21" width="3.44140625" customWidth="1"/>
    <col min="22" max="22" width="22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225</v>
      </c>
      <c r="O1" s="14" t="s">
        <v>226</v>
      </c>
      <c r="P1" s="14" t="s">
        <v>227</v>
      </c>
      <c r="Q1" s="14" t="s">
        <v>228</v>
      </c>
      <c r="R1" s="14"/>
      <c r="S1" s="14" t="s">
        <v>229</v>
      </c>
      <c r="V1" s="14" t="s">
        <v>230</v>
      </c>
    </row>
    <row r="2" spans="1:22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  <c r="N2" t="str">
        <f>IF(Patient_Data!L2="pending","followup","no action")</f>
        <v>no action</v>
      </c>
      <c r="O2" t="str">
        <f>IF(Patient_Data!K2&gt;40000,"hb","lb")</f>
        <v>lb</v>
      </c>
      <c r="P2" t="str">
        <f>IF(C2&gt;=60,"sr ce","not")</f>
        <v>not</v>
      </c>
      <c r="Q2" t="b">
        <f>AND(K2&gt;40000,M2&gt;5)</f>
        <v>0</v>
      </c>
      <c r="R2" t="str">
        <f>IF(AND(K2&gt;40000,L2="pending"),"hfr","norm")</f>
        <v>norm</v>
      </c>
      <c r="S2" t="str">
        <f>IF(K2&gt;=50000,"Very High",IF(K2&gt;=30000,"High",IF(K2&gt;=15000,"Medium","Low")))</f>
        <v>Medium</v>
      </c>
    </row>
    <row r="3" spans="1:22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  <c r="N3" t="str">
        <f>IF(Patient_Data!L3="pending","followup","no action")</f>
        <v>no action</v>
      </c>
      <c r="O3" t="str">
        <f>IF(Patient_Data!K3&gt;40000,"hb","lb")</f>
        <v>hb</v>
      </c>
      <c r="P3" t="str">
        <f t="shared" ref="P3:P15" si="0">IF(C3&gt;=60,"sr ce","not")</f>
        <v>not</v>
      </c>
      <c r="Q3" t="b">
        <f t="shared" ref="Q3:Q11" si="1">AND(K3&gt;40000,M3&gt;5)</f>
        <v>1</v>
      </c>
      <c r="R3" t="str">
        <f>IF(AND(Patient_Data!K3&gt;40000,Patient_Data!L3="pending"),"hfr","norm")</f>
        <v>norm</v>
      </c>
      <c r="S3" t="str">
        <f t="shared" ref="S3:S18" si="2">IF(K3&gt;=50000,"Very High",IF(K3&gt;=30000,"High",IF(K3&gt;=15000,"Medium","Low")))</f>
        <v>High</v>
      </c>
    </row>
    <row r="4" spans="1:22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  <c r="N4" t="str">
        <f>IF(Patient_Data!L4="pending","followup","no action")</f>
        <v>no action</v>
      </c>
      <c r="O4" t="str">
        <f>IF(Patient_Data!K4&gt;40000,"hb","lb")</f>
        <v>lb</v>
      </c>
      <c r="P4" t="str">
        <f t="shared" si="0"/>
        <v>not</v>
      </c>
      <c r="Q4" t="b">
        <f t="shared" si="1"/>
        <v>0</v>
      </c>
      <c r="R4" t="str">
        <f>IF(AND(Patient_Data!K4&gt;40000,Patient_Data!L4="pending"),"hfr","norm")</f>
        <v>norm</v>
      </c>
      <c r="S4" t="str">
        <f t="shared" si="2"/>
        <v>Low</v>
      </c>
    </row>
    <row r="5" spans="1:22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  <c r="N5" t="str">
        <f>IF(Patient_Data!L5="pending","followup","no action")</f>
        <v>followup</v>
      </c>
      <c r="O5" t="str">
        <f>IF(Patient_Data!K5&gt;40000,"hb","lb")</f>
        <v>lb</v>
      </c>
      <c r="P5" t="str">
        <f t="shared" si="0"/>
        <v>not</v>
      </c>
      <c r="Q5" t="b">
        <f t="shared" si="1"/>
        <v>0</v>
      </c>
      <c r="R5" t="str">
        <f>IF(AND(Patient_Data!K5&gt;40000,Patient_Data!L5="pending"),"hfr","norm")</f>
        <v>norm</v>
      </c>
      <c r="S5" t="str">
        <f>IF(K5&gt;=50000,"Very High",IF(K5&gt;=30000,"High",IF(K5&gt;=15000,"Medium","Low")))</f>
        <v>Medium</v>
      </c>
    </row>
    <row r="6" spans="1:22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  <c r="O6" t="str">
        <f>IF(Patient_Data!K6&gt;40000,"hb","lb")</f>
        <v>lb</v>
      </c>
      <c r="P6" t="str">
        <f t="shared" si="0"/>
        <v>sr ce</v>
      </c>
      <c r="Q6" t="b">
        <f t="shared" si="1"/>
        <v>0</v>
      </c>
      <c r="R6" t="str">
        <f>IF(AND(Patient_Data!K6&gt;40000,Patient_Data!L6="pending"),"hfr","norm")</f>
        <v>norm</v>
      </c>
      <c r="S6" t="str">
        <f t="shared" si="2"/>
        <v>Medium</v>
      </c>
    </row>
    <row r="7" spans="1:22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  <c r="O7" t="str">
        <f>IF(Patient_Data!K7&gt;40000,"hb","lb")</f>
        <v>lb</v>
      </c>
      <c r="P7" t="str">
        <f t="shared" si="0"/>
        <v>not</v>
      </c>
      <c r="Q7" t="b">
        <f t="shared" si="1"/>
        <v>0</v>
      </c>
      <c r="R7" t="str">
        <f>IF(AND(Patient_Data!K7&gt;40000,Patient_Data!L7="pending"),"hfr","norm")</f>
        <v>norm</v>
      </c>
      <c r="S7" t="str">
        <f t="shared" si="2"/>
        <v>Low</v>
      </c>
    </row>
    <row r="8" spans="1:22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  <c r="O8" t="str">
        <f>IF(Patient_Data!K8&gt;40000,"hb","lb")</f>
        <v>hb</v>
      </c>
      <c r="P8" t="str">
        <f t="shared" si="0"/>
        <v>sr ce</v>
      </c>
      <c r="Q8" t="b">
        <f t="shared" si="1"/>
        <v>1</v>
      </c>
      <c r="R8" t="str">
        <f>IF(AND(Patient_Data!K8&gt;40000,Patient_Data!L8="pending"),"hfr","norm")</f>
        <v>hfr</v>
      </c>
      <c r="S8" t="str">
        <f t="shared" si="2"/>
        <v>Very High</v>
      </c>
    </row>
    <row r="9" spans="1:22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  <c r="O9" t="str">
        <f>IF(Patient_Data!K9&gt;40000,"hb","lb")</f>
        <v>lb</v>
      </c>
      <c r="P9" t="str">
        <f t="shared" si="0"/>
        <v>not</v>
      </c>
      <c r="Q9" t="b">
        <f t="shared" si="1"/>
        <v>0</v>
      </c>
      <c r="R9" t="str">
        <f>IF(AND(Patient_Data!K9&gt;40000,Patient_Data!L9="pending"),"hfr","norm")</f>
        <v>norm</v>
      </c>
      <c r="S9" t="str">
        <f t="shared" si="2"/>
        <v>Low</v>
      </c>
    </row>
    <row r="10" spans="1:22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  <c r="O10" t="str">
        <f>IF(Patient_Data!K10&gt;40000,"hb","lb")</f>
        <v>lb</v>
      </c>
      <c r="P10" t="str">
        <f t="shared" si="0"/>
        <v>not</v>
      </c>
      <c r="Q10" t="b">
        <f t="shared" si="1"/>
        <v>0</v>
      </c>
      <c r="R10" t="str">
        <f>IF(AND(Patient_Data!K10&gt;40000,Patient_Data!L10="pending"),"hfr","norm")</f>
        <v>norm</v>
      </c>
      <c r="S10" t="str">
        <f t="shared" si="2"/>
        <v>Medium</v>
      </c>
    </row>
    <row r="11" spans="1:22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  <c r="O11" t="str">
        <f>IF(Patient_Data!K11&gt;40000,"hb","lb")</f>
        <v>lb</v>
      </c>
      <c r="P11" t="str">
        <f t="shared" si="0"/>
        <v>not</v>
      </c>
      <c r="Q11" t="b">
        <f t="shared" si="1"/>
        <v>0</v>
      </c>
      <c r="S11" t="str">
        <f t="shared" si="2"/>
        <v>Low</v>
      </c>
    </row>
    <row r="12" spans="1:22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  <c r="O12" t="str">
        <f>IF(Patient_Data!K12&gt;40000,"hb","lb")</f>
        <v>lb</v>
      </c>
      <c r="P12" t="str">
        <f t="shared" si="0"/>
        <v>sr ce</v>
      </c>
      <c r="S12" t="str">
        <f t="shared" si="2"/>
        <v>Medium</v>
      </c>
    </row>
    <row r="13" spans="1:22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  <c r="O13" t="str">
        <f>IF(Patient_Data!K13&gt;40000,"hb","lb")</f>
        <v>lb</v>
      </c>
      <c r="P13" t="str">
        <f t="shared" si="0"/>
        <v>not</v>
      </c>
      <c r="S13" t="str">
        <f>IF(K13&gt;=50000,"Very High",IF(K13&gt;=30000,"High",IF(K13&gt;=15000,"Medium","Low")))</f>
        <v>High</v>
      </c>
    </row>
    <row r="14" spans="1:22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  <c r="O14" t="str">
        <f>IF(Patient_Data!K14&gt;40000,"hb","lb")</f>
        <v>lb</v>
      </c>
      <c r="P14" t="str">
        <f t="shared" si="0"/>
        <v>not</v>
      </c>
      <c r="S14" t="str">
        <f t="shared" si="2"/>
        <v>Low</v>
      </c>
    </row>
    <row r="15" spans="1:22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  <c r="O15" t="str">
        <f>IF(Patient_Data!K15&gt;40000,"hb","lb")</f>
        <v>lb</v>
      </c>
      <c r="P15" t="str">
        <f t="shared" si="0"/>
        <v>not</v>
      </c>
      <c r="S15" t="str">
        <f t="shared" si="2"/>
        <v>Medium</v>
      </c>
    </row>
    <row r="16" spans="1:22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  <c r="O16" t="str">
        <f>IF(Patient_Data!K16&gt;40000,"hb","lb")</f>
        <v>hb</v>
      </c>
      <c r="S16" t="str">
        <f t="shared" si="2"/>
        <v>Very High</v>
      </c>
    </row>
    <row r="17" spans="1:19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  <c r="O17" t="str">
        <f>IF(Patient_Data!K17&gt;40000,"hb","lb")</f>
        <v>lb</v>
      </c>
      <c r="S17" t="str">
        <f t="shared" si="2"/>
        <v>Low</v>
      </c>
    </row>
    <row r="18" spans="1:19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  <c r="O18" t="str">
        <f>IF(Patient_Data!K18&gt;40000,"hb","lb")</f>
        <v>lb</v>
      </c>
      <c r="S18" t="str">
        <f t="shared" si="2"/>
        <v>Medium</v>
      </c>
    </row>
    <row r="19" spans="1:19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  <c r="O19" t="str">
        <f>IF(Patient_Data!K19&gt;40000,"hb","lb")</f>
        <v>hb</v>
      </c>
    </row>
    <row r="20" spans="1:19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  <c r="O20" t="str">
        <f>IF(Patient_Data!K20&gt;40000,"hb","lb")</f>
        <v>lb</v>
      </c>
    </row>
    <row r="21" spans="1:19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  <c r="O21" t="str">
        <f>IF(Patient_Data!K21&gt;40000,"hb","lb")</f>
        <v>lb</v>
      </c>
    </row>
    <row r="22" spans="1:19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  <c r="O22" t="str">
        <f>IF(Patient_Data!K22&gt;40000,"hb","lb")</f>
        <v>lb</v>
      </c>
    </row>
    <row r="23" spans="1:19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  <c r="O23" t="str">
        <f>IF(Patient_Data!K23&gt;40000,"hb","lb")</f>
        <v>hb</v>
      </c>
    </row>
    <row r="24" spans="1:19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  <c r="O24" t="str">
        <f>IF(Patient_Data!K24&gt;40000,"hb","lb")</f>
        <v>lb</v>
      </c>
    </row>
    <row r="25" spans="1:19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  <c r="O25" t="str">
        <f>IF(Patient_Data!K25&gt;40000,"hb","lb")</f>
        <v>lb</v>
      </c>
    </row>
    <row r="26" spans="1:19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  <c r="O26" t="str">
        <f>IF(Patient_Data!K26&gt;40000,"hb","lb")</f>
        <v>hb</v>
      </c>
    </row>
    <row r="27" spans="1:19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  <c r="O27" t="str">
        <f>IF(Patient_Data!K27&gt;40000,"hb","lb")</f>
        <v>lb</v>
      </c>
    </row>
    <row r="28" spans="1:19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  <c r="O28" t="str">
        <f>IF(Patient_Data!K28&gt;40000,"hb","lb")</f>
        <v>lb</v>
      </c>
    </row>
    <row r="29" spans="1:19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  <c r="O29" t="str">
        <f>IF(Patient_Data!K29&gt;40000,"hb","lb")</f>
        <v>lb</v>
      </c>
    </row>
    <row r="30" spans="1:19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  <c r="O30" t="str">
        <f>IF(Patient_Data!K30&gt;40000,"hb","lb")</f>
        <v>lb</v>
      </c>
    </row>
    <row r="31" spans="1:19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  <c r="O31" t="str">
        <f>IF(Patient_Data!K31&gt;40000,"hb","lb")</f>
        <v>lb</v>
      </c>
    </row>
    <row r="32" spans="1:19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  <c r="O32" t="str">
        <f>IF(Patient_Data!K32&gt;40000,"hb","lb")</f>
        <v>lb</v>
      </c>
    </row>
    <row r="33" spans="1:15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  <c r="O33" t="str">
        <f>IF(Patient_Data!K33&gt;40000,"hb","lb")</f>
        <v>hb</v>
      </c>
    </row>
    <row r="34" spans="1:15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  <c r="O34" t="str">
        <f>IF(Patient_Data!K34&gt;40000,"hb","lb")</f>
        <v>hb</v>
      </c>
    </row>
    <row r="35" spans="1:15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  <c r="O35" t="str">
        <f>IF(Patient_Data!K35&gt;40000,"hb","lb")</f>
        <v>lb</v>
      </c>
    </row>
    <row r="36" spans="1:15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  <c r="O36" t="str">
        <f>IF(Patient_Data!K36&gt;40000,"hb","lb")</f>
        <v>lb</v>
      </c>
    </row>
    <row r="37" spans="1:15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  <c r="O37" t="str">
        <f>IF(Patient_Data!K37&gt;40000,"hb","lb")</f>
        <v>lb</v>
      </c>
    </row>
    <row r="38" spans="1:15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  <c r="O38" t="str">
        <f>IF(Patient_Data!K38&gt;40000,"hb","lb")</f>
        <v>lb</v>
      </c>
    </row>
    <row r="39" spans="1:15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  <c r="O39" t="str">
        <f>IF(Patient_Data!K39&gt;40000,"hb","lb")</f>
        <v>lb</v>
      </c>
    </row>
    <row r="40" spans="1:15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  <c r="O40" t="str">
        <f>IF(Patient_Data!K40&gt;40000,"hb","lb")</f>
        <v>lb</v>
      </c>
    </row>
    <row r="41" spans="1:15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  <c r="O41" t="str">
        <f>IF(Patient_Data!K41&gt;40000,"hb","lb")</f>
        <v>hb</v>
      </c>
    </row>
    <row r="46" spans="1:15">
      <c r="L46" t="s">
        <v>99</v>
      </c>
    </row>
    <row r="47" spans="1:15">
      <c r="E47" t="s">
        <v>123</v>
      </c>
      <c r="H47">
        <f>SUM(bb)</f>
        <v>1019500</v>
      </c>
      <c r="L47" t="s">
        <v>98</v>
      </c>
    </row>
    <row r="48" spans="1:15">
      <c r="E48" t="s">
        <v>138</v>
      </c>
      <c r="H48">
        <f>SUMIF(Department,E31,bb)</f>
        <v>443500</v>
      </c>
      <c r="L48" t="s">
        <v>95</v>
      </c>
    </row>
    <row r="49" spans="5:10">
      <c r="E49" t="s">
        <v>139</v>
      </c>
      <c r="H49" t="e">
        <f>DCOUNTA(A1:Q41,E1,J46)</f>
        <v>#VALUE!</v>
      </c>
    </row>
    <row r="50" spans="5:10">
      <c r="E50" t="s">
        <v>140</v>
      </c>
      <c r="H50">
        <f>AVERAGEIF(Department,E39,bb)</f>
        <v>25571.428571428572</v>
      </c>
    </row>
    <row r="51" spans="5:10">
      <c r="E51" t="s">
        <v>124</v>
      </c>
      <c r="H51">
        <f>SUMIF(J2:J41,J40,bb)</f>
        <v>499500</v>
      </c>
      <c r="J51" t="e">
        <f>DAVERAGE(A2:Q41,11,K68:K69)</f>
        <v>#DIV/0!</v>
      </c>
    </row>
    <row r="52" spans="5:10">
      <c r="E52" t="s">
        <v>125</v>
      </c>
      <c r="H52">
        <f>COUNTIF(L2:L43,L33)</f>
        <v>10</v>
      </c>
    </row>
    <row r="53" spans="5:10">
      <c r="E53" t="s">
        <v>126</v>
      </c>
    </row>
    <row r="54" spans="5:10">
      <c r="E54" t="s">
        <v>127</v>
      </c>
      <c r="H54">
        <f ca="1">SUMIF(E2:E43,J33,bb)</f>
        <v>0</v>
      </c>
    </row>
    <row r="55" spans="5:10">
      <c r="E55" t="s">
        <v>128</v>
      </c>
    </row>
    <row r="56" spans="5:10">
      <c r="E56" t="s">
        <v>129</v>
      </c>
    </row>
    <row r="57" spans="5:10">
      <c r="E57" t="s">
        <v>130</v>
      </c>
    </row>
    <row r="58" spans="5:10">
      <c r="E58" t="s">
        <v>131</v>
      </c>
      <c r="H58">
        <f>SUMIF(bb,"&gt;40000",bb)</f>
        <v>508000</v>
      </c>
    </row>
    <row r="59" spans="5:10">
      <c r="E59" t="s">
        <v>132</v>
      </c>
      <c r="H59" t="s">
        <v>231</v>
      </c>
    </row>
    <row r="60" spans="5:10">
      <c r="E60" t="s">
        <v>133</v>
      </c>
    </row>
    <row r="61" spans="5:10">
      <c r="E61" t="s">
        <v>134</v>
      </c>
    </row>
    <row r="62" spans="5:10">
      <c r="E62" t="s">
        <v>135</v>
      </c>
    </row>
    <row r="63" spans="5:10">
      <c r="E63" t="s">
        <v>136</v>
      </c>
      <c r="H63" t="e">
        <f>max</f>
        <v>#NAME?</v>
      </c>
    </row>
    <row r="64" spans="5:10">
      <c r="E64" t="s">
        <v>137</v>
      </c>
    </row>
    <row r="65" spans="5:12">
      <c r="E65" t="s">
        <v>141</v>
      </c>
    </row>
    <row r="66" spans="5:12">
      <c r="E66" t="s">
        <v>142</v>
      </c>
      <c r="J66" t="str">
        <f>L48</f>
        <v>Cardiology</v>
      </c>
    </row>
    <row r="68" spans="5:12">
      <c r="K68" t="s">
        <v>4</v>
      </c>
      <c r="L68" t="s">
        <v>232</v>
      </c>
    </row>
    <row r="69" spans="5:12">
      <c r="K69" t="s">
        <v>95</v>
      </c>
      <c r="L69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38" zoomScale="117" workbookViewId="0">
      <selection activeCell="A19" sqref="A19"/>
    </sheetView>
  </sheetViews>
  <sheetFormatPr defaultRowHeight="14.4"/>
  <cols>
    <col min="1" max="1" width="98.109375" customWidth="1"/>
    <col min="2" max="2" width="14" customWidth="1"/>
  </cols>
  <sheetData>
    <row r="1" spans="1:1">
      <c r="A1" s="10" t="s">
        <v>186</v>
      </c>
    </row>
    <row r="2" spans="1:1">
      <c r="A2" t="s">
        <v>187</v>
      </c>
    </row>
    <row r="3" spans="1:1">
      <c r="A3" t="s">
        <v>188</v>
      </c>
    </row>
    <row r="5" spans="1:1">
      <c r="A5" t="s">
        <v>189</v>
      </c>
    </row>
    <row r="6" spans="1:1">
      <c r="A6" s="11" t="s">
        <v>190</v>
      </c>
    </row>
    <row r="7" spans="1:1">
      <c r="A7" s="11" t="s">
        <v>191</v>
      </c>
    </row>
    <row r="9" spans="1:1">
      <c r="A9" t="s">
        <v>192</v>
      </c>
    </row>
    <row r="10" spans="1:1">
      <c r="A10" t="s">
        <v>194</v>
      </c>
    </row>
    <row r="11" spans="1:1">
      <c r="A11" t="s">
        <v>193</v>
      </c>
    </row>
    <row r="12" spans="1:1">
      <c r="A12" s="11"/>
    </row>
    <row r="13" spans="1:1">
      <c r="A13" t="s">
        <v>195</v>
      </c>
    </row>
    <row r="14" spans="1:1">
      <c r="A14" s="11" t="s">
        <v>196</v>
      </c>
    </row>
    <row r="15" spans="1:1">
      <c r="A15" s="12" t="s">
        <v>197</v>
      </c>
    </row>
    <row r="16" spans="1:1">
      <c r="A16" s="11" t="s">
        <v>198</v>
      </c>
    </row>
    <row r="18" spans="1:3">
      <c r="A18" t="s">
        <v>199</v>
      </c>
    </row>
    <row r="19" spans="1:3">
      <c r="A19" s="11" t="s">
        <v>200</v>
      </c>
    </row>
    <row r="20" spans="1:3">
      <c r="A20" s="11" t="s">
        <v>197</v>
      </c>
    </row>
    <row r="21" spans="1:3">
      <c r="A21" s="11" t="s">
        <v>201</v>
      </c>
    </row>
    <row r="23" spans="1:3">
      <c r="A23" t="s">
        <v>202</v>
      </c>
    </row>
    <row r="24" spans="1:3">
      <c r="A24" s="11" t="s">
        <v>203</v>
      </c>
    </row>
    <row r="25" spans="1:3">
      <c r="A25" s="11" t="s">
        <v>204</v>
      </c>
    </row>
    <row r="27" spans="1:3">
      <c r="A27" t="s">
        <v>205</v>
      </c>
    </row>
    <row r="28" spans="1:3">
      <c r="A28" t="s">
        <v>206</v>
      </c>
    </row>
    <row r="29" spans="1:3">
      <c r="A29" s="13"/>
    </row>
    <row r="30" spans="1:3">
      <c r="A30" t="s">
        <v>207</v>
      </c>
      <c r="B30" s="4" t="s">
        <v>208</v>
      </c>
      <c r="C30" s="5" t="s">
        <v>209</v>
      </c>
    </row>
    <row r="31" spans="1:3">
      <c r="B31" s="3" t="s">
        <v>210</v>
      </c>
      <c r="C31" s="6" t="s">
        <v>211</v>
      </c>
    </row>
    <row r="32" spans="1:3">
      <c r="B32" s="3" t="s">
        <v>212</v>
      </c>
      <c r="C32" s="6" t="s">
        <v>213</v>
      </c>
    </row>
    <row r="33" spans="1:3">
      <c r="A33" s="13"/>
      <c r="B33" s="3" t="s">
        <v>214</v>
      </c>
      <c r="C33" s="6" t="s">
        <v>215</v>
      </c>
    </row>
    <row r="34" spans="1:3">
      <c r="B34" s="3" t="s">
        <v>216</v>
      </c>
      <c r="C34" s="6" t="s">
        <v>217</v>
      </c>
    </row>
    <row r="37" spans="1:3">
      <c r="A37" t="s">
        <v>218</v>
      </c>
    </row>
    <row r="38" spans="1:3">
      <c r="A38" s="11" t="s">
        <v>219</v>
      </c>
    </row>
    <row r="39" spans="1:3">
      <c r="A39" s="11" t="s">
        <v>220</v>
      </c>
    </row>
    <row r="40" spans="1:3">
      <c r="A40" t="s">
        <v>221</v>
      </c>
    </row>
    <row r="42" spans="1:3">
      <c r="A42" t="s">
        <v>222</v>
      </c>
    </row>
    <row r="43" spans="1:3">
      <c r="A43" s="11"/>
    </row>
    <row r="44" spans="1:3">
      <c r="A44" s="11" t="s">
        <v>223</v>
      </c>
    </row>
    <row r="45" spans="1:3">
      <c r="A45" s="12" t="s">
        <v>224</v>
      </c>
    </row>
    <row r="47" spans="1:3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10" workbookViewId="0">
      <selection activeCell="D11" sqref="D11"/>
    </sheetView>
  </sheetViews>
  <sheetFormatPr defaultRowHeight="14.4"/>
  <cols>
    <col min="2" max="2" width="23.5546875" customWidth="1"/>
    <col min="3" max="3" width="17.21875" customWidth="1"/>
    <col min="4" max="4" width="21.109375" customWidth="1"/>
  </cols>
  <sheetData>
    <row r="1" spans="1:4">
      <c r="A1" s="4" t="s">
        <v>143</v>
      </c>
      <c r="B1" s="5" t="s">
        <v>144</v>
      </c>
      <c r="C1" s="5" t="s">
        <v>145</v>
      </c>
      <c r="D1" s="4" t="s">
        <v>146</v>
      </c>
    </row>
    <row r="2" spans="1:4">
      <c r="A2" s="3">
        <v>1</v>
      </c>
      <c r="B2" s="6" t="s">
        <v>147</v>
      </c>
      <c r="C2" s="7" t="s">
        <v>148</v>
      </c>
      <c r="D2" s="8">
        <v>1019500</v>
      </c>
    </row>
    <row r="3" spans="1:4">
      <c r="A3" s="3">
        <v>2</v>
      </c>
      <c r="B3" s="6" t="s">
        <v>149</v>
      </c>
      <c r="C3" s="7" t="s">
        <v>150</v>
      </c>
      <c r="D3" s="8">
        <v>443500</v>
      </c>
    </row>
    <row r="4" spans="1:4">
      <c r="A4" s="3">
        <v>2</v>
      </c>
      <c r="B4" s="6" t="s">
        <v>151</v>
      </c>
      <c r="C4" s="7" t="s">
        <v>150</v>
      </c>
      <c r="D4" s="8">
        <v>89500</v>
      </c>
    </row>
    <row r="5" spans="1:4">
      <c r="A5" s="3">
        <v>2</v>
      </c>
      <c r="B5" s="6" t="s">
        <v>152</v>
      </c>
      <c r="C5" s="7" t="s">
        <v>150</v>
      </c>
      <c r="D5" s="8">
        <v>77500</v>
      </c>
    </row>
    <row r="6" spans="1:4">
      <c r="A6" s="3">
        <v>2</v>
      </c>
      <c r="B6" s="6" t="s">
        <v>153</v>
      </c>
      <c r="C6" s="7" t="s">
        <v>150</v>
      </c>
      <c r="D6" s="8">
        <v>179000</v>
      </c>
    </row>
    <row r="7" spans="1:4">
      <c r="A7" s="3">
        <v>2</v>
      </c>
      <c r="B7" s="6" t="s">
        <v>154</v>
      </c>
      <c r="C7" s="7" t="s">
        <v>150</v>
      </c>
      <c r="D7" s="8">
        <v>230000</v>
      </c>
    </row>
    <row r="8" spans="1:4">
      <c r="A8" s="3">
        <v>3</v>
      </c>
      <c r="B8" s="6" t="s">
        <v>155</v>
      </c>
      <c r="C8" s="7" t="s">
        <v>156</v>
      </c>
      <c r="D8" s="4">
        <v>10</v>
      </c>
    </row>
    <row r="9" spans="1:4">
      <c r="A9" s="3">
        <v>3</v>
      </c>
      <c r="B9" s="6" t="s">
        <v>157</v>
      </c>
      <c r="C9" s="7" t="s">
        <v>156</v>
      </c>
      <c r="D9" s="4">
        <v>7</v>
      </c>
    </row>
    <row r="10" spans="1:4">
      <c r="A10" s="3">
        <v>3</v>
      </c>
      <c r="B10" s="6" t="s">
        <v>158</v>
      </c>
      <c r="C10" s="7" t="s">
        <v>156</v>
      </c>
      <c r="D10" s="4">
        <v>8</v>
      </c>
    </row>
    <row r="11" spans="1:4">
      <c r="A11" s="3">
        <v>3</v>
      </c>
      <c r="B11" s="6" t="s">
        <v>159</v>
      </c>
      <c r="C11" s="7" t="s">
        <v>156</v>
      </c>
      <c r="D11" s="4">
        <v>7</v>
      </c>
    </row>
    <row r="12" spans="1:4">
      <c r="A12" s="3">
        <v>3</v>
      </c>
      <c r="B12" s="6" t="s">
        <v>160</v>
      </c>
      <c r="C12" s="7" t="s">
        <v>156</v>
      </c>
      <c r="D12" s="4">
        <v>8</v>
      </c>
    </row>
    <row r="13" spans="1:4">
      <c r="A13" s="3">
        <v>4</v>
      </c>
      <c r="B13" s="6" t="s">
        <v>161</v>
      </c>
      <c r="C13" s="7" t="s">
        <v>162</v>
      </c>
      <c r="D13" s="8">
        <v>44350</v>
      </c>
    </row>
    <row r="14" spans="1:4">
      <c r="A14" s="3">
        <v>4</v>
      </c>
      <c r="B14" s="6" t="s">
        <v>163</v>
      </c>
      <c r="C14" s="7" t="s">
        <v>162</v>
      </c>
      <c r="D14" s="9">
        <v>12785.71</v>
      </c>
    </row>
    <row r="15" spans="1:4">
      <c r="A15" s="3">
        <v>4</v>
      </c>
      <c r="B15" s="6" t="s">
        <v>164</v>
      </c>
      <c r="C15" s="7" t="s">
        <v>162</v>
      </c>
      <c r="D15" s="9">
        <v>9687.5</v>
      </c>
    </row>
    <row r="16" spans="1:4">
      <c r="A16" s="3">
        <v>4</v>
      </c>
      <c r="B16" s="6" t="s">
        <v>165</v>
      </c>
      <c r="C16" s="7" t="s">
        <v>162</v>
      </c>
      <c r="D16" s="9">
        <v>25571.43</v>
      </c>
    </row>
    <row r="17" spans="1:4">
      <c r="A17" s="3">
        <v>4</v>
      </c>
      <c r="B17" s="6" t="s">
        <v>166</v>
      </c>
      <c r="C17" s="7" t="s">
        <v>162</v>
      </c>
      <c r="D17" s="8">
        <v>28750</v>
      </c>
    </row>
    <row r="18" spans="1:4">
      <c r="A18" s="3">
        <v>5</v>
      </c>
      <c r="B18" s="6" t="s">
        <v>167</v>
      </c>
      <c r="C18" s="7" t="s">
        <v>150</v>
      </c>
      <c r="D18" s="8">
        <v>499500</v>
      </c>
    </row>
    <row r="19" spans="1:4">
      <c r="A19" s="3">
        <v>6</v>
      </c>
      <c r="B19" s="6" t="s">
        <v>168</v>
      </c>
      <c r="C19" s="7" t="s">
        <v>156</v>
      </c>
      <c r="D19" s="4">
        <v>10</v>
      </c>
    </row>
    <row r="20" spans="1:4">
      <c r="A20" s="3">
        <v>7</v>
      </c>
      <c r="B20" s="6" t="s">
        <v>169</v>
      </c>
      <c r="C20" s="7" t="s">
        <v>150</v>
      </c>
      <c r="D20" s="8">
        <v>344500</v>
      </c>
    </row>
    <row r="21" spans="1:4">
      <c r="A21" s="3">
        <v>8</v>
      </c>
      <c r="B21" s="6" t="s">
        <v>170</v>
      </c>
      <c r="C21" s="7" t="s">
        <v>171</v>
      </c>
      <c r="D21" s="8">
        <v>275500</v>
      </c>
    </row>
    <row r="22" spans="1:4">
      <c r="A22" s="3">
        <v>9</v>
      </c>
      <c r="B22" s="6" t="s">
        <v>172</v>
      </c>
      <c r="C22" s="7" t="s">
        <v>173</v>
      </c>
      <c r="D22" s="4">
        <v>4</v>
      </c>
    </row>
    <row r="23" spans="1:4">
      <c r="A23" s="3">
        <v>10</v>
      </c>
      <c r="B23" s="6" t="s">
        <v>174</v>
      </c>
      <c r="C23" s="7" t="s">
        <v>162</v>
      </c>
      <c r="D23" s="9">
        <v>25766.67</v>
      </c>
    </row>
    <row r="24" spans="1:4">
      <c r="A24" s="3">
        <v>11</v>
      </c>
      <c r="B24" s="6" t="s">
        <v>175</v>
      </c>
      <c r="C24" s="7" t="s">
        <v>156</v>
      </c>
      <c r="D24" s="4">
        <v>9</v>
      </c>
    </row>
    <row r="25" spans="1:4">
      <c r="A25" s="3">
        <v>12</v>
      </c>
      <c r="B25" s="6" t="s">
        <v>176</v>
      </c>
      <c r="C25" s="7" t="s">
        <v>150</v>
      </c>
      <c r="D25" s="8">
        <v>508000</v>
      </c>
    </row>
    <row r="26" spans="1:4">
      <c r="A26" s="3">
        <v>13</v>
      </c>
      <c r="B26" s="6" t="s">
        <v>177</v>
      </c>
      <c r="C26" s="7" t="s">
        <v>156</v>
      </c>
      <c r="D26" s="4">
        <v>11</v>
      </c>
    </row>
    <row r="27" spans="1:4">
      <c r="A27" s="3">
        <v>14</v>
      </c>
      <c r="B27" s="6" t="s">
        <v>178</v>
      </c>
      <c r="C27" s="7" t="s">
        <v>150</v>
      </c>
      <c r="D27" s="8">
        <v>582000</v>
      </c>
    </row>
    <row r="28" spans="1:4">
      <c r="A28" s="3">
        <v>15</v>
      </c>
      <c r="B28" s="6" t="s">
        <v>179</v>
      </c>
      <c r="C28" s="7" t="s">
        <v>171</v>
      </c>
      <c r="D28" s="8">
        <v>320000</v>
      </c>
    </row>
    <row r="29" spans="1:4" ht="28.8">
      <c r="A29" s="3">
        <v>16</v>
      </c>
      <c r="B29" s="6" t="s">
        <v>180</v>
      </c>
      <c r="C29" s="7" t="s">
        <v>162</v>
      </c>
      <c r="D29" s="4" t="s">
        <v>181</v>
      </c>
    </row>
    <row r="30" spans="1:4">
      <c r="A30" s="3">
        <v>17</v>
      </c>
      <c r="B30" s="6" t="s">
        <v>182</v>
      </c>
      <c r="C30" s="7" t="s">
        <v>183</v>
      </c>
      <c r="D30" s="8">
        <v>76000</v>
      </c>
    </row>
    <row r="31" spans="1:4">
      <c r="A31" s="3">
        <v>18</v>
      </c>
      <c r="B31" s="6" t="s">
        <v>184</v>
      </c>
      <c r="C31" s="7" t="s">
        <v>185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Patient_Data</vt:lpstr>
      <vt:lpstr>Questions</vt:lpstr>
      <vt:lpstr>Answers</vt:lpstr>
      <vt:lpstr>bb</vt:lpstr>
      <vt:lpstr>Bills</vt:lpstr>
      <vt:lpstr>dd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dell</cp:lastModifiedBy>
  <dcterms:created xsi:type="dcterms:W3CDTF">2026-09-09T05:55:57Z</dcterms:created>
  <dcterms:modified xsi:type="dcterms:W3CDTF">2026-09-26T04:52:07Z</dcterms:modified>
</cp:coreProperties>
</file>